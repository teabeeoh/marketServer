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715614/Downloads/"/>
    </mc:Choice>
  </mc:AlternateContent>
  <xr:revisionPtr revIDLastSave="0" documentId="8_{FEF59584-6815-DE4F-BED0-6684E9F6821E}" xr6:coauthVersionLast="47" xr6:coauthVersionMax="47" xr10:uidLastSave="{00000000-0000-0000-0000-000000000000}"/>
  <bookViews>
    <workbookView xWindow="4700" yWindow="1420" windowWidth="27840" windowHeight="16740" xr2:uid="{8C7BF0AC-4D04-2C43-949F-4B06188C43F2}"/>
  </bookViews>
  <sheets>
    <sheet name="TICKER_SYMBOL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L35" i="1"/>
  <c r="M34" i="1"/>
  <c r="L34" i="1"/>
  <c r="I34" i="1"/>
  <c r="H34" i="1"/>
  <c r="M33" i="1"/>
  <c r="L33" i="1"/>
  <c r="I33" i="1"/>
  <c r="H33" i="1"/>
  <c r="M32" i="1"/>
  <c r="L32" i="1"/>
  <c r="I32" i="1"/>
  <c r="H32" i="1"/>
  <c r="M31" i="1"/>
  <c r="L31" i="1"/>
  <c r="I31" i="1"/>
  <c r="H31" i="1"/>
  <c r="M30" i="1"/>
  <c r="L30" i="1"/>
  <c r="I30" i="1"/>
  <c r="H30" i="1"/>
  <c r="M29" i="1"/>
  <c r="L29" i="1"/>
  <c r="I29" i="1"/>
  <c r="H29" i="1"/>
  <c r="M28" i="1"/>
  <c r="L28" i="1"/>
  <c r="I28" i="1"/>
  <c r="H28" i="1"/>
  <c r="M27" i="1"/>
  <c r="L27" i="1"/>
  <c r="I27" i="1"/>
  <c r="H27" i="1"/>
  <c r="M26" i="1"/>
  <c r="L26" i="1"/>
  <c r="I26" i="1"/>
  <c r="H26" i="1"/>
  <c r="M25" i="1"/>
  <c r="L25" i="1"/>
  <c r="I25" i="1"/>
  <c r="H25" i="1"/>
  <c r="M24" i="1"/>
  <c r="L24" i="1"/>
  <c r="M23" i="1"/>
  <c r="L23" i="1"/>
  <c r="F22" i="1"/>
  <c r="K12" i="1"/>
  <c r="K11" i="1"/>
  <c r="K10" i="1"/>
  <c r="K9" i="1"/>
  <c r="K8" i="1"/>
  <c r="K7" i="1"/>
  <c r="K6" i="1"/>
  <c r="B24" i="1"/>
  <c r="B25" i="1" l="1"/>
  <c r="C24" i="1"/>
  <c r="D24" i="1"/>
  <c r="C25" i="1" l="1"/>
  <c r="D25" i="1" s="1"/>
  <c r="B26" i="1"/>
  <c r="B27" i="1" l="1"/>
  <c r="C26" i="1"/>
  <c r="D26" i="1" s="1"/>
  <c r="C27" i="1" l="1"/>
  <c r="D27" i="1" s="1"/>
  <c r="B28" i="1"/>
  <c r="B29" i="1" l="1"/>
  <c r="C28" i="1"/>
  <c r="D28" i="1" s="1"/>
  <c r="C29" i="1" l="1"/>
  <c r="D29" i="1" s="1"/>
  <c r="B30" i="1"/>
  <c r="B31" i="1" l="1"/>
  <c r="C30" i="1"/>
  <c r="D30" i="1" s="1"/>
  <c r="B32" i="1" l="1"/>
  <c r="C31" i="1"/>
  <c r="D31" i="1" s="1"/>
  <c r="C32" i="1" l="1"/>
  <c r="D32" i="1" s="1"/>
  <c r="B33" i="1"/>
  <c r="C33" i="1" s="1"/>
  <c r="D33" i="1" s="1"/>
</calcChain>
</file>

<file path=xl/sharedStrings.xml><?xml version="1.0" encoding="utf-8"?>
<sst xmlns="http://schemas.openxmlformats.org/spreadsheetml/2006/main" count="32" uniqueCount="30">
  <si>
    <t>Name</t>
  </si>
  <si>
    <t>ISIN</t>
  </si>
  <si>
    <t>Sektor</t>
  </si>
  <si>
    <t>Währung</t>
  </si>
  <si>
    <t>Analysedatum</t>
  </si>
  <si>
    <t>Notizen</t>
  </si>
  <si>
    <t>Aktuelle Einschätzung</t>
  </si>
  <si>
    <t>Dashboard</t>
  </si>
  <si>
    <t>Jahr</t>
  </si>
  <si>
    <t>Umsatz (Mio)</t>
  </si>
  <si>
    <t>JÜ (Mio)</t>
  </si>
  <si>
    <t>FCF (Mio)</t>
  </si>
  <si>
    <t>Dividende</t>
  </si>
  <si>
    <t>Anzahl Aktien</t>
  </si>
  <si>
    <t>Eigenkapital</t>
  </si>
  <si>
    <t>Bilanzsumme</t>
  </si>
  <si>
    <t>Goodwill</t>
  </si>
  <si>
    <t>Intangible Assets</t>
  </si>
  <si>
    <t>Dividend/FCF</t>
  </si>
  <si>
    <t>Umsatzwachstum</t>
  </si>
  <si>
    <t>Umsatzrendite</t>
  </si>
  <si>
    <t>Aktienrückkauf</t>
  </si>
  <si>
    <t>#Jahre</t>
  </si>
  <si>
    <t>Umsatz</t>
  </si>
  <si>
    <t>Gewinn</t>
  </si>
  <si>
    <t>KGV auf heutigem Kursniveau</t>
  </si>
  <si>
    <t>Company Name</t>
  </si>
  <si>
    <t>ISIN of company</t>
  </si>
  <si>
    <t>sector of company</t>
  </si>
  <si>
    <t>currency in annual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</si>
</sst>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_-* #,##0.000\ _€_-;\-* #,##0.000\ _€_-;_-* &quot;-&quot;??\ _€_-;_-@_-"/>
    <numFmt numFmtId="168" formatCode="_-* #,##0\ &quot;€&quot;_-;\-* #,##0\ &quot;€&quot;_-;_-* &quot;-&quot;??\ &quot;€&quot;_-;_-@_-"/>
  </numFmts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2" fontId="0" fillId="0" borderId="0" xfId="0" applyNumberFormat="1"/>
    <xf numFmtId="165" fontId="0" fillId="0" borderId="0" xfId="1" applyNumberFormat="1" applyFont="1" applyFill="1"/>
    <xf numFmtId="9" fontId="0" fillId="0" borderId="0" xfId="3" applyFont="1" applyFill="1"/>
    <xf numFmtId="164" fontId="0" fillId="0" borderId="0" xfId="0" applyNumberFormat="1"/>
    <xf numFmtId="166" fontId="0" fillId="0" borderId="0" xfId="3" applyNumberFormat="1" applyFont="1" applyFill="1"/>
    <xf numFmtId="0" fontId="2" fillId="0" borderId="0" xfId="4" applyFill="1"/>
    <xf numFmtId="14" fontId="0" fillId="0" borderId="0" xfId="0" applyNumberFormat="1"/>
    <xf numFmtId="165" fontId="0" fillId="0" borderId="0" xfId="0" applyNumberFormat="1"/>
    <xf numFmtId="14" fontId="0" fillId="3" borderId="0" xfId="0" applyNumberFormat="1" applyFill="1"/>
    <xf numFmtId="165" fontId="0" fillId="3" borderId="0" xfId="1" applyNumberFormat="1" applyFont="1" applyFill="1" applyBorder="1"/>
    <xf numFmtId="164" fontId="0" fillId="3" borderId="0" xfId="1" applyFont="1" applyFill="1" applyBorder="1"/>
    <xf numFmtId="9" fontId="0" fillId="3" borderId="0" xfId="3" applyFont="1" applyFill="1"/>
    <xf numFmtId="0" fontId="0" fillId="0" borderId="0" xfId="0" applyAlignment="1">
      <alignment horizontal="right" vertical="center" wrapText="1"/>
    </xf>
    <xf numFmtId="165" fontId="0" fillId="3" borderId="0" xfId="1" applyNumberFormat="1" applyFont="1" applyFill="1"/>
    <xf numFmtId="166" fontId="3" fillId="0" borderId="0" xfId="3" applyNumberFormat="1" applyFont="1" applyFill="1"/>
    <xf numFmtId="9" fontId="0" fillId="0" borderId="0" xfId="0" applyNumberFormat="1"/>
    <xf numFmtId="167" fontId="3" fillId="0" borderId="0" xfId="0" applyNumberFormat="1" applyFont="1"/>
    <xf numFmtId="168" fontId="3" fillId="0" borderId="0" xfId="2" applyNumberFormat="1" applyFont="1"/>
    <xf numFmtId="166" fontId="0" fillId="0" borderId="0" xfId="3" applyNumberFormat="1" applyFont="1"/>
    <xf numFmtId="0" fontId="0" fillId="0" borderId="0" xfId="0" applyAlignment="1">
      <alignment vertical="center"/>
    </xf>
    <xf numFmtId="166" fontId="1" fillId="0" borderId="0" xfId="3" applyNumberFormat="1" applyFont="1" applyFill="1"/>
    <xf numFmtId="0" fontId="3" fillId="0" borderId="0" xfId="0" applyFont="1"/>
    <xf numFmtId="9" fontId="3" fillId="0" borderId="0" xfId="0" applyNumberFormat="1" applyFont="1"/>
    <xf numFmtId="44" fontId="3" fillId="0" borderId="0" xfId="2" applyFont="1" applyFill="1"/>
    <xf numFmtId="168" fontId="0" fillId="0" borderId="0" xfId="2" applyNumberFormat="1" applyFont="1"/>
    <xf numFmtId="168" fontId="1" fillId="0" borderId="0" xfId="2" applyNumberFormat="1" applyFont="1"/>
    <xf numFmtId="9" fontId="0" fillId="0" borderId="0" xfId="3" applyFont="1"/>
    <xf numFmtId="10" fontId="0" fillId="0" borderId="0" xfId="0" applyNumberFormat="1" applyAlignment="1">
      <alignment vertical="center"/>
    </xf>
    <xf numFmtId="3" fontId="0" fillId="0" borderId="0" xfId="0" applyNumberFormat="1"/>
    <xf numFmtId="44" fontId="0" fillId="0" borderId="0" xfId="2" applyFont="1"/>
    <xf numFmtId="165" fontId="0" fillId="0" borderId="0" xfId="1" applyNumberFormat="1" applyFont="1" applyAlignment="1">
      <alignment vertical="center"/>
    </xf>
    <xf numFmtId="9" fontId="1" fillId="0" borderId="0" xfId="3" applyFont="1"/>
  </cellXfs>
  <cellStyles count="5">
    <cellStyle name="Komma" xfId="1" builtinId="3"/>
    <cellStyle name="Link" xfId="4" builtinId="8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ynologyDrive/_mydocs/Geldanlage/Value%20Investing.xlsx" TargetMode="External"/><Relationship Id="rId2" Type="http://schemas.openxmlformats.org/officeDocument/2006/relationships/externalLinkPath" Target="/Users/715614/SynologyDrive/_mydocs/Geldanlage/Value%20Investing.xlsx" TargetMode="External"/><Relationship Id="rId1" Type="http://schemas.openxmlformats.org/officeDocument/2006/relationships/externalLinkPath" Target="/Users/715614/SynologyDrive/_mydocs/Geldanlage/Value%20Inve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KURSE"/>
      <sheetName val="FOREX"/>
      <sheetName val="3M"/>
      <sheetName val="ActivisionBlizzard"/>
      <sheetName val="Aena"/>
      <sheetName val="Adobe"/>
      <sheetName val="Allianz"/>
      <sheetName val="Alphabet"/>
      <sheetName val="Amazon"/>
      <sheetName val="Apple"/>
      <sheetName val="AstonMartin"/>
      <sheetName val="ATnT"/>
      <sheetName val="Atlassian"/>
      <sheetName val="BASF"/>
      <sheetName val="Bayer"/>
      <sheetName val="BBVA"/>
      <sheetName val="Bechtle"/>
      <sheetName val="Berkshire"/>
      <sheetName val="Biontech"/>
      <sheetName val="BMW"/>
      <sheetName val="Brookfield"/>
      <sheetName val="CEWE"/>
      <sheetName val="CEZ"/>
      <sheetName val="CGI"/>
      <sheetName val="Chevron"/>
      <sheetName val="Cognizant"/>
      <sheetName val="Confluent"/>
      <sheetName val="Curevac"/>
      <sheetName val="Deckers"/>
      <sheetName val="DeuBa"/>
      <sheetName val="Donaldson"/>
      <sheetName val="Ebay"/>
      <sheetName val="Elastic"/>
      <sheetName val="EckertZiegler"/>
      <sheetName val="Energica"/>
      <sheetName val="E.ON"/>
      <sheetName val="Exasol"/>
      <sheetName val="Exxon"/>
      <sheetName val="Fielmann"/>
      <sheetName val="Facebook"/>
      <sheetName val="Forbo"/>
      <sheetName val="Fraport"/>
      <sheetName val="Fresenius"/>
      <sheetName val="FuchsPetrolub"/>
      <sheetName val="GE"/>
      <sheetName val="GEAerospace"/>
      <sheetName val="GEHealthcare"/>
      <sheetName val="GEVernova"/>
      <sheetName val="Gesco"/>
      <sheetName val="Grenkeleasing"/>
      <sheetName val="HapagLloyd"/>
      <sheetName val="HennesMauritz"/>
      <sheetName val="Holcim"/>
      <sheetName val="HP"/>
      <sheetName val="IBM"/>
      <sheetName val="Intel"/>
      <sheetName val="Ionos"/>
      <sheetName val="IsraVision"/>
      <sheetName val="Jamf"/>
      <sheetName val="JnJ"/>
      <sheetName val="Kinaxis"/>
      <sheetName val="Mercedes"/>
      <sheetName val="Microsoft"/>
      <sheetName val="MunichRe"/>
      <sheetName val="Nestlé"/>
      <sheetName val="Netflix"/>
      <sheetName val="Nike"/>
      <sheetName val="Nikola"/>
      <sheetName val="NorNickel"/>
      <sheetName val="Occidential"/>
      <sheetName val="Okta"/>
      <sheetName val="Palantir"/>
      <sheetName val="Ping"/>
      <sheetName val="Pinterest"/>
      <sheetName val="Pivotal"/>
      <sheetName val="PnG"/>
      <sheetName val="Porsche"/>
      <sheetName val="PVATepla"/>
      <sheetName val="Readly"/>
      <sheetName val="Reckit"/>
      <sheetName val="Roche"/>
      <sheetName val="RWE"/>
      <sheetName val="SAP"/>
      <sheetName val="Salesforce"/>
      <sheetName val="Schrodinger"/>
      <sheetName val="Secunet"/>
      <sheetName val="SendGrid"/>
      <sheetName val="ShareholderValueBet"/>
      <sheetName val="SiemensHealth"/>
      <sheetName val="Slack"/>
      <sheetName val="Snowflake"/>
      <sheetName val="SNP"/>
      <sheetName val="SolarEdge"/>
      <sheetName val="Sonos"/>
      <sheetName val="Solventum"/>
      <sheetName val="Statoil"/>
      <sheetName val="Straumann"/>
      <sheetName val="SvenskaHandels"/>
      <sheetName val="SwissRe"/>
      <sheetName val="TakeTwo"/>
      <sheetName val="Thor"/>
      <sheetName val="Twilio"/>
      <sheetName val="Twitter"/>
      <sheetName val="Uber"/>
      <sheetName val="Veeva"/>
      <sheetName val="Verizon"/>
      <sheetName val="VFC"/>
      <sheetName val="Vinci"/>
      <sheetName val="WaltDisney"/>
      <sheetName val="Xing"/>
      <sheetName val="Zalando"/>
      <sheetName val="Zuora"/>
    </sheetNames>
    <sheetDataSet>
      <sheetData sheetId="0" refreshError="1"/>
      <sheetData sheetId="1">
        <row r="2">
          <cell r="A2" t="str">
            <v>CH0012032048</v>
          </cell>
          <cell r="B2" t="e">
            <v>#VALUE!</v>
          </cell>
          <cell r="C2" t="str">
            <v>Roche Holding AG</v>
          </cell>
          <cell r="D2">
            <v>364.2</v>
          </cell>
        </row>
        <row r="3">
          <cell r="A3" t="str">
            <v>US8168831027</v>
          </cell>
        </row>
        <row r="4">
          <cell r="A4" t="str">
            <v>US88579Y1010</v>
          </cell>
          <cell r="B4" t="e">
            <v>#VALUE!</v>
          </cell>
          <cell r="C4" t="str">
            <v>3M COMPANY</v>
          </cell>
          <cell r="D4">
            <v>173.75</v>
          </cell>
        </row>
        <row r="5">
          <cell r="A5" t="str">
            <v>US00507V1098</v>
          </cell>
          <cell r="B5" t="e">
            <v>#VALUE!</v>
          </cell>
          <cell r="C5" t="str">
            <v>Activision Blizzard Inc</v>
          </cell>
          <cell r="D5">
            <v>94.42</v>
          </cell>
        </row>
        <row r="6">
          <cell r="A6" t="str">
            <v>US00724F1012</v>
          </cell>
          <cell r="B6" t="e">
            <v>#VALUE!</v>
          </cell>
          <cell r="C6" t="str">
            <v>ADOBE INC.</v>
          </cell>
          <cell r="D6">
            <v>259.01</v>
          </cell>
        </row>
        <row r="7">
          <cell r="A7" t="str">
            <v>US02079K3059</v>
          </cell>
          <cell r="B7" t="e">
            <v>#VALUE!</v>
          </cell>
          <cell r="C7" t="str">
            <v>ALPHABET INC.</v>
          </cell>
          <cell r="D7">
            <v>319.77999999999997</v>
          </cell>
        </row>
        <row r="8">
          <cell r="A8" t="str">
            <v>US0231351067</v>
          </cell>
          <cell r="B8" t="e">
            <v>#VALUE!</v>
          </cell>
          <cell r="C8" t="str">
            <v>AMAZON.COM, INC.</v>
          </cell>
          <cell r="D8">
            <v>206.23500000000001</v>
          </cell>
        </row>
        <row r="9">
          <cell r="A9" t="str">
            <v>US0378331005</v>
          </cell>
          <cell r="B9" t="e">
            <v>#VALUE!</v>
          </cell>
          <cell r="C9" t="str">
            <v>APPLE INC.</v>
          </cell>
          <cell r="D9">
            <v>275.67500000000001</v>
          </cell>
        </row>
        <row r="10">
          <cell r="A10" t="str">
            <v>GB00BFXZC448</v>
          </cell>
          <cell r="B10" t="e">
            <v>#VALUE!</v>
          </cell>
          <cell r="C10" t="str">
            <v>ASTON MARTIN LAGONDA GLOBAL HOLDINGS PLC</v>
          </cell>
          <cell r="D10">
            <v>0.63800000000000001</v>
          </cell>
        </row>
        <row r="11">
          <cell r="A11" t="str">
            <v>US00206R1023</v>
          </cell>
          <cell r="B11" t="e">
            <v>#VALUE!</v>
          </cell>
          <cell r="C11" t="str">
            <v>AT&amp;T INC.</v>
          </cell>
          <cell r="D11">
            <v>27.37</v>
          </cell>
        </row>
        <row r="12">
          <cell r="A12" t="str">
            <v>GB00BZ09BD16</v>
          </cell>
          <cell r="B12" t="e">
            <v>#VALUE!</v>
          </cell>
          <cell r="C12" t="str">
            <v>ATLASSIAN CORPORATION</v>
          </cell>
          <cell r="D12">
            <v>87.15</v>
          </cell>
        </row>
        <row r="13">
          <cell r="A13" t="str">
            <v>DE000BASF111</v>
          </cell>
          <cell r="B13" t="e">
            <v>#VALUE!</v>
          </cell>
          <cell r="C13" t="str">
            <v>BASF SE</v>
          </cell>
          <cell r="D13">
            <v>51.14</v>
          </cell>
        </row>
        <row r="14">
          <cell r="A14" t="str">
            <v>DE0005158703</v>
          </cell>
          <cell r="B14" t="e">
            <v>#VALUE!</v>
          </cell>
          <cell r="C14" t="str">
            <v>Bechtle AG</v>
          </cell>
          <cell r="D14">
            <v>35.46</v>
          </cell>
        </row>
        <row r="15">
          <cell r="A15" t="str">
            <v>US0846707026</v>
          </cell>
          <cell r="B15" t="e">
            <v>#VALUE!</v>
          </cell>
          <cell r="C15" t="str">
            <v>BERKSHIRE HATHAWAY INC.</v>
          </cell>
          <cell r="D15">
            <v>502.45</v>
          </cell>
        </row>
        <row r="16">
          <cell r="A16" t="str">
            <v>US09075V1026</v>
          </cell>
          <cell r="B16" t="e">
            <v>#VALUE!</v>
          </cell>
          <cell r="C16" t="str">
            <v>BioNTech SE</v>
          </cell>
          <cell r="D16">
            <v>92.2</v>
          </cell>
        </row>
        <row r="17">
          <cell r="A17" t="str">
            <v>DE0005403901</v>
          </cell>
          <cell r="B17" t="e">
            <v>#VALUE!</v>
          </cell>
          <cell r="C17" t="str">
            <v>CEWE Stiftung &amp; Co. KGaA</v>
          </cell>
          <cell r="D17">
            <v>102</v>
          </cell>
        </row>
        <row r="18">
          <cell r="A18" t="str">
            <v>CZ0005112300</v>
          </cell>
          <cell r="B18" t="e">
            <v>#VALUE!</v>
          </cell>
          <cell r="C18" t="str">
            <v>CEZ as</v>
          </cell>
          <cell r="D18">
            <v>609</v>
          </cell>
        </row>
        <row r="19">
          <cell r="A19" t="str">
            <v>CA39945C1095</v>
          </cell>
          <cell r="B19" t="e">
            <v>#VALUE!</v>
          </cell>
          <cell r="C19" t="str">
            <v>CGI INC.</v>
          </cell>
          <cell r="D19">
            <v>80.02</v>
          </cell>
        </row>
        <row r="20">
          <cell r="A20" t="str">
            <v>US1924461023</v>
          </cell>
          <cell r="B20" t="e">
            <v>#VALUE!</v>
          </cell>
          <cell r="C20" t="str">
            <v>COGNIZANT TECHNOLOGY SOLUTIONS CORPORATION</v>
          </cell>
          <cell r="D20">
            <v>74.284999999999997</v>
          </cell>
        </row>
        <row r="21">
          <cell r="A21" t="str">
            <v>DE0005140008</v>
          </cell>
          <cell r="B21" t="e">
            <v>#VALUE!</v>
          </cell>
          <cell r="C21" t="str">
            <v>Deutsche Bank Aktiengesellschaft</v>
          </cell>
          <cell r="D21">
            <v>31.035</v>
          </cell>
        </row>
        <row r="22">
          <cell r="A22" t="str">
            <v>US2576511099</v>
          </cell>
          <cell r="B22" t="e">
            <v>#VALUE!</v>
          </cell>
          <cell r="C22" t="str">
            <v>DONALDSON COMPANY, INC.</v>
          </cell>
          <cell r="D22">
            <v>111.04</v>
          </cell>
        </row>
        <row r="23">
          <cell r="A23" t="str">
            <v>DE000ENAG999</v>
          </cell>
          <cell r="B23" t="e">
            <v>#VALUE!</v>
          </cell>
          <cell r="C23" t="str">
            <v>E.ON SE</v>
          </cell>
          <cell r="D23">
            <v>18.05</v>
          </cell>
        </row>
        <row r="24">
          <cell r="A24" t="str">
            <v>NO0010096985</v>
          </cell>
          <cell r="B24" t="e">
            <v>#VALUE!</v>
          </cell>
          <cell r="C24" t="str">
            <v>Equinor ASA</v>
          </cell>
          <cell r="D24">
            <v>28.324999999999999</v>
          </cell>
        </row>
        <row r="25">
          <cell r="A25" t="str">
            <v>US30231G1022</v>
          </cell>
          <cell r="B25" t="e">
            <v>#VALUE!</v>
          </cell>
          <cell r="C25" t="str">
            <v>EXXON MOBIL CORPORATION</v>
          </cell>
          <cell r="D25">
            <v>155.07</v>
          </cell>
        </row>
        <row r="26">
          <cell r="A26" t="str">
            <v>US30303M1027</v>
          </cell>
          <cell r="B26" t="e">
            <v>#VALUE!</v>
          </cell>
          <cell r="C26" t="str">
            <v>Meta Platforms, Inc.</v>
          </cell>
          <cell r="D26">
            <v>674.58</v>
          </cell>
        </row>
        <row r="27">
          <cell r="A27" t="str">
            <v>DE0005772206</v>
          </cell>
          <cell r="B27" t="e">
            <v>#VALUE!</v>
          </cell>
          <cell r="C27" t="str">
            <v>Fielmann Group AG</v>
          </cell>
          <cell r="D27">
            <v>41.35</v>
          </cell>
        </row>
        <row r="28">
          <cell r="A28" t="str">
            <v>CH0003541510</v>
          </cell>
          <cell r="B28" t="e">
            <v>#VALUE!</v>
          </cell>
          <cell r="C28" t="str">
            <v>Forbo Holding AG</v>
          </cell>
          <cell r="D28">
            <v>1032</v>
          </cell>
        </row>
        <row r="29">
          <cell r="A29" t="str">
            <v>DE0005785604</v>
          </cell>
          <cell r="B29" t="e">
            <v>#VALUE!</v>
          </cell>
          <cell r="C29" t="str">
            <v>Fresenius SE &amp; Co. KGaA</v>
          </cell>
          <cell r="D29">
            <v>49.72</v>
          </cell>
        </row>
        <row r="30">
          <cell r="A30" t="str">
            <v>DE0005790406</v>
          </cell>
          <cell r="B30" t="e">
            <v>#VALUE!</v>
          </cell>
          <cell r="C30" t="str">
            <v>FUCHS SE</v>
          </cell>
          <cell r="D30">
            <v>30.55</v>
          </cell>
        </row>
        <row r="31">
          <cell r="A31" t="str">
            <v>US3696041033</v>
          </cell>
          <cell r="B31" t="e">
            <v>#VALUE!</v>
          </cell>
          <cell r="C31" t="str">
            <v>GENERAL ELECTRIC COMPANY</v>
          </cell>
          <cell r="D31">
            <v>320.08</v>
          </cell>
        </row>
        <row r="32">
          <cell r="A32" t="str">
            <v>DE000A1K0201</v>
          </cell>
          <cell r="B32" t="e">
            <v>#VALUE!</v>
          </cell>
          <cell r="C32" t="str">
            <v>Gesco SE</v>
          </cell>
          <cell r="D32">
            <v>16</v>
          </cell>
        </row>
        <row r="33">
          <cell r="A33" t="str">
            <v>DE000A161N30</v>
          </cell>
          <cell r="B33" t="e">
            <v>#VALUE!</v>
          </cell>
          <cell r="C33" t="str">
            <v>GRENKE AG</v>
          </cell>
          <cell r="D33">
            <v>15.04</v>
          </cell>
        </row>
        <row r="34">
          <cell r="A34" t="str">
            <v>SE0000106270</v>
          </cell>
          <cell r="B34" t="e">
            <v>#VALUE!</v>
          </cell>
          <cell r="C34" t="str">
            <v>H &amp; M Hennes &amp; Mauritz AB</v>
          </cell>
          <cell r="D34">
            <v>3.48</v>
          </cell>
        </row>
        <row r="35">
          <cell r="A35" t="str">
            <v>US4592001014</v>
          </cell>
          <cell r="B35" t="e">
            <v>#VALUE!</v>
          </cell>
          <cell r="C35" t="str">
            <v>INTERNATIONAL BUSINESS MACHINES CORPORATION</v>
          </cell>
          <cell r="D35">
            <v>291.04000000000002</v>
          </cell>
        </row>
        <row r="36">
          <cell r="A36" t="str">
            <v>DE0005488100</v>
          </cell>
          <cell r="D36">
            <v>47.35</v>
          </cell>
        </row>
        <row r="37">
          <cell r="A37" t="str">
            <v>US47074L1052</v>
          </cell>
          <cell r="B37" t="e">
            <v>#VALUE!</v>
          </cell>
          <cell r="C37" t="str">
            <v>Jamf Holding Corp.</v>
          </cell>
          <cell r="D37">
            <v>13.05</v>
          </cell>
        </row>
        <row r="38">
          <cell r="A38" t="str">
            <v>US4781601046</v>
          </cell>
          <cell r="B38" t="e">
            <v>#VALUE!</v>
          </cell>
          <cell r="C38" t="str">
            <v>JOHNSON &amp; JOHNSON</v>
          </cell>
          <cell r="D38">
            <v>239.11</v>
          </cell>
        </row>
        <row r="39">
          <cell r="A39" t="str">
            <v>US5949181045</v>
          </cell>
          <cell r="B39" t="e">
            <v>#VALUE!</v>
          </cell>
          <cell r="C39" t="str">
            <v>MICROSOFT CORPORATION</v>
          </cell>
          <cell r="D39">
            <v>410.49</v>
          </cell>
        </row>
        <row r="40">
          <cell r="A40" t="str">
            <v>DE0008430026</v>
          </cell>
          <cell r="B40" t="e">
            <v>#VALUE!</v>
          </cell>
          <cell r="C40" t="str">
            <v>Münchener Rückversicherungs-Gesellschaft Aktiengesellschaft in München</v>
          </cell>
          <cell r="D40">
            <v>527</v>
          </cell>
        </row>
        <row r="41">
          <cell r="A41" t="str">
            <v>CH0038863350</v>
          </cell>
          <cell r="B41" t="e">
            <v>#VALUE!</v>
          </cell>
          <cell r="C41" t="str">
            <v>Nestle Ltd.</v>
          </cell>
          <cell r="D41">
            <v>74</v>
          </cell>
        </row>
        <row r="42">
          <cell r="A42" t="str">
            <v>US64110L1061</v>
          </cell>
          <cell r="B42" t="e">
            <v>#VALUE!</v>
          </cell>
          <cell r="C42" t="str">
            <v>NETFLIX, INC.</v>
          </cell>
          <cell r="D42">
            <v>81.820099999999996</v>
          </cell>
        </row>
        <row r="43">
          <cell r="A43" t="str">
            <v>DE000XNG8888</v>
          </cell>
          <cell r="B43" t="e">
            <v>#VALUE!</v>
          </cell>
          <cell r="C43" t="str">
            <v>New Work SE</v>
          </cell>
          <cell r="D43">
            <v>66.2</v>
          </cell>
        </row>
        <row r="44">
          <cell r="A44" t="str">
            <v>US6792951054</v>
          </cell>
          <cell r="B44" t="e">
            <v>#VALUE!</v>
          </cell>
          <cell r="C44" t="str">
            <v>OKTA, INC.</v>
          </cell>
          <cell r="D44">
            <v>88.8</v>
          </cell>
        </row>
        <row r="45">
          <cell r="A45" t="str">
            <v>US72341T1034</v>
          </cell>
          <cell r="B45" t="e">
            <v>#VALUE!</v>
          </cell>
          <cell r="C45" t="str">
            <v>Ping Identity Holding Corp</v>
          </cell>
          <cell r="D45">
            <v>28.5</v>
          </cell>
        </row>
        <row r="46">
          <cell r="A46" t="str">
            <v>US72582H1077</v>
          </cell>
          <cell r="B46" t="e">
            <v>#VALUE!</v>
          </cell>
          <cell r="C46" t="str">
            <v>Pivotal Systems Corp</v>
          </cell>
          <cell r="D46" t="e">
            <v>#VALUE!</v>
          </cell>
        </row>
        <row r="47">
          <cell r="A47" t="str">
            <v>DE000PAH0038</v>
          </cell>
          <cell r="B47" t="e">
            <v>#VALUE!</v>
          </cell>
          <cell r="C47" t="str">
            <v>Porsche Automobil Holding SE</v>
          </cell>
          <cell r="D47">
            <v>35.89</v>
          </cell>
        </row>
        <row r="48">
          <cell r="A48" t="str">
            <v>US55315J1025</v>
          </cell>
          <cell r="B48" t="e">
            <v>#VALUE!</v>
          </cell>
          <cell r="C48" t="str">
            <v>GMK Noril'skiy Nikel' PAO</v>
          </cell>
          <cell r="D48" t="e">
            <v>#VALUE!</v>
          </cell>
        </row>
        <row r="49">
          <cell r="A49" t="str">
            <v>GB00B24CGK77</v>
          </cell>
          <cell r="B49" t="e">
            <v>#VALUE!</v>
          </cell>
          <cell r="C49" t="str">
            <v>RECKITT BENCKISER GROUP PLC</v>
          </cell>
          <cell r="D49">
            <v>62.82</v>
          </cell>
        </row>
        <row r="50">
          <cell r="A50" t="str">
            <v>US79466L3024</v>
          </cell>
          <cell r="B50" t="e">
            <v>#VALUE!</v>
          </cell>
          <cell r="C50" t="str">
            <v>SALESFORCE, INC.</v>
          </cell>
          <cell r="D50">
            <v>188.45</v>
          </cell>
        </row>
        <row r="51">
          <cell r="A51" t="str">
            <v>DE0007164600</v>
          </cell>
          <cell r="B51" t="e">
            <v>#VALUE!</v>
          </cell>
          <cell r="C51" t="str">
            <v>SAP SE</v>
          </cell>
          <cell r="D51">
            <v>173.8</v>
          </cell>
        </row>
        <row r="52">
          <cell r="A52" t="str">
            <v>DE0007276503</v>
          </cell>
          <cell r="B52" t="e">
            <v>#VALUE!</v>
          </cell>
          <cell r="C52" t="str">
            <v>secunet Security Networks Aktiengesellschaft</v>
          </cell>
          <cell r="D52">
            <v>194.2</v>
          </cell>
        </row>
        <row r="53">
          <cell r="A53" t="str">
            <v>US83088V1026</v>
          </cell>
          <cell r="C53" t="str">
            <v>SLACK TECHNOLOGIES, INC.</v>
          </cell>
          <cell r="D53">
            <v>44.71</v>
          </cell>
        </row>
        <row r="54">
          <cell r="A54" t="str">
            <v>DE0007203705</v>
          </cell>
          <cell r="B54" t="e">
            <v>#VALUE!</v>
          </cell>
          <cell r="C54" t="str">
            <v>SNP Schneider-Neureither &amp; Partner SE</v>
          </cell>
          <cell r="D54">
            <v>83.2</v>
          </cell>
        </row>
        <row r="55">
          <cell r="A55" t="str">
            <v>US83570H1086</v>
          </cell>
          <cell r="B55" t="e">
            <v>#VALUE!</v>
          </cell>
          <cell r="C55" t="str">
            <v>SONOS, INC.</v>
          </cell>
          <cell r="D55">
            <v>17.2</v>
          </cell>
        </row>
        <row r="56">
          <cell r="A56" t="str">
            <v>FR0000125486</v>
          </cell>
          <cell r="B56" t="e">
            <v>#VALUE!</v>
          </cell>
          <cell r="C56" t="str">
            <v>Vinci SA</v>
          </cell>
          <cell r="D56">
            <v>133.80000000000001</v>
          </cell>
        </row>
        <row r="57">
          <cell r="A57" t="str">
            <v>CH0012280076</v>
          </cell>
          <cell r="B57" t="e">
            <v>#VALUE!</v>
          </cell>
          <cell r="C57" t="str">
            <v>Straumann Holding AG</v>
          </cell>
          <cell r="D57">
            <v>99.04</v>
          </cell>
        </row>
        <row r="58">
          <cell r="A58" t="str">
            <v>CH0126881561</v>
          </cell>
          <cell r="B58" t="e">
            <v>#VALUE!</v>
          </cell>
          <cell r="C58" t="str">
            <v>Swiss Re AG</v>
          </cell>
          <cell r="D58">
            <v>127.5</v>
          </cell>
        </row>
        <row r="59">
          <cell r="A59" t="str">
            <v>US8740541094</v>
          </cell>
          <cell r="B59" t="e">
            <v>#VALUE!</v>
          </cell>
          <cell r="C59" t="str">
            <v>TAKE-TWO INTERACTIVE SOFTWARE, INC.</v>
          </cell>
          <cell r="D59">
            <v>208.05500000000001</v>
          </cell>
        </row>
        <row r="60">
          <cell r="A60" t="str">
            <v>US7427181091</v>
          </cell>
          <cell r="B60" t="e">
            <v>#VALUE!</v>
          </cell>
          <cell r="C60" t="str">
            <v>THE PROCTER &amp; GAMBLE COMPANY</v>
          </cell>
          <cell r="D60">
            <v>158.87</v>
          </cell>
        </row>
        <row r="61">
          <cell r="A61" t="str">
            <v>US2546871060</v>
          </cell>
          <cell r="B61" t="e">
            <v>#VALUE!</v>
          </cell>
          <cell r="C61" t="str">
            <v>THE WALT DISNEY COMPANY</v>
          </cell>
          <cell r="D61">
            <v>109.0575</v>
          </cell>
        </row>
        <row r="62">
          <cell r="A62" t="str">
            <v>US8851601018</v>
          </cell>
          <cell r="B62" t="e">
            <v>#VALUE!</v>
          </cell>
          <cell r="C62" t="str">
            <v>THOR INDUSTRIES, INC.</v>
          </cell>
          <cell r="D62">
            <v>120.155</v>
          </cell>
        </row>
        <row r="63">
          <cell r="A63" t="str">
            <v>JP3633400001</v>
          </cell>
          <cell r="B63" t="e">
            <v>#VALUE!</v>
          </cell>
          <cell r="C63" t="str">
            <v>TOYOTA MOTOR CORPORATION</v>
          </cell>
          <cell r="D63">
            <v>241.55</v>
          </cell>
        </row>
        <row r="64">
          <cell r="A64" t="str">
            <v>US90138F1021</v>
          </cell>
          <cell r="B64" t="e">
            <v>#VALUE!</v>
          </cell>
          <cell r="C64" t="str">
            <v>TWILIO INC.</v>
          </cell>
          <cell r="D64">
            <v>115.68</v>
          </cell>
        </row>
        <row r="65">
          <cell r="A65" t="str">
            <v>US90184L1026</v>
          </cell>
          <cell r="B65" t="e">
            <v>#VALUE!</v>
          </cell>
          <cell r="C65" t="str">
            <v>Twitter Inc</v>
          </cell>
          <cell r="D65">
            <v>53.7</v>
          </cell>
        </row>
        <row r="66">
          <cell r="A66" t="str">
            <v>US90353T1007</v>
          </cell>
          <cell r="B66" t="e">
            <v>#VALUE!</v>
          </cell>
          <cell r="C66" t="str">
            <v>UBER TECHNOLOGIES, INC.</v>
          </cell>
          <cell r="D66">
            <v>72.515000000000001</v>
          </cell>
        </row>
        <row r="67">
          <cell r="A67" t="str">
            <v>US9224751084</v>
          </cell>
          <cell r="B67" t="e">
            <v>#VALUE!</v>
          </cell>
          <cell r="C67" t="str">
            <v>VEEVA SYSTEMS INC.</v>
          </cell>
          <cell r="D67">
            <v>181.77</v>
          </cell>
        </row>
        <row r="68">
          <cell r="A68" t="str">
            <v>DE000ZAL1111</v>
          </cell>
          <cell r="B68" t="e">
            <v>#VALUE!</v>
          </cell>
          <cell r="C68" t="str">
            <v>Zalando SE</v>
          </cell>
          <cell r="D68">
            <v>21.54</v>
          </cell>
        </row>
        <row r="69">
          <cell r="A69" t="str">
            <v>US98983V1061</v>
          </cell>
          <cell r="B69" t="e">
            <v>#VALUE!</v>
          </cell>
          <cell r="C69" t="str">
            <v>ZUORA, INC.</v>
          </cell>
          <cell r="D69">
            <v>10.02</v>
          </cell>
        </row>
        <row r="70">
          <cell r="A70" t="str">
            <v>DE0007037129</v>
          </cell>
          <cell r="B70" t="e">
            <v>#VALUE!</v>
          </cell>
          <cell r="C70" t="str">
            <v>RWE Aktiengesellschaft</v>
          </cell>
          <cell r="D70">
            <v>54.14</v>
          </cell>
        </row>
        <row r="71">
          <cell r="A71" t="str">
            <v>US83417M1045</v>
          </cell>
          <cell r="B71" t="e">
            <v>#VALUE!</v>
          </cell>
          <cell r="C71" t="str">
            <v>SOLAREDGE TECHNOLOGIES, INC.</v>
          </cell>
          <cell r="D71">
            <v>36.57</v>
          </cell>
        </row>
        <row r="72">
          <cell r="A72" t="str">
            <v>IT0005143547</v>
          </cell>
          <cell r="D72">
            <v>3.19</v>
          </cell>
        </row>
        <row r="73">
          <cell r="A73" t="str">
            <v>US2786421030</v>
          </cell>
          <cell r="B73" t="e">
            <v>#VALUE!</v>
          </cell>
          <cell r="C73" t="str">
            <v>EBAY INC.</v>
          </cell>
          <cell r="D73">
            <v>86.98</v>
          </cell>
        </row>
        <row r="74">
          <cell r="A74" t="str">
            <v>US92343V1044</v>
          </cell>
          <cell r="B74" t="e">
            <v>#VALUE!</v>
          </cell>
          <cell r="C74" t="str">
            <v>VERIZON COMMUNICATIONS INC.</v>
          </cell>
          <cell r="D74">
            <v>47.524999999999999</v>
          </cell>
        </row>
        <row r="75">
          <cell r="A75" t="str">
            <v>US80810D1037</v>
          </cell>
          <cell r="B75" t="e">
            <v>#VALUE!</v>
          </cell>
          <cell r="C75" t="str">
            <v>SCHRODINGER, INC.</v>
          </cell>
          <cell r="D75">
            <v>13.43</v>
          </cell>
        </row>
        <row r="76">
          <cell r="A76" t="str">
            <v>NL0015436031</v>
          </cell>
          <cell r="B76" t="e">
            <v>#VALUE!</v>
          </cell>
          <cell r="C76" t="str">
            <v>CureVac NV</v>
          </cell>
          <cell r="D76">
            <v>4.3099999999999996</v>
          </cell>
        </row>
        <row r="77">
          <cell r="A77" t="str">
            <v>ES0105046009</v>
          </cell>
          <cell r="B77" t="e">
            <v>#VALUE!</v>
          </cell>
          <cell r="C77" t="str">
            <v>Aena SME SA</v>
          </cell>
          <cell r="D77">
            <v>27.84</v>
          </cell>
        </row>
        <row r="78">
          <cell r="A78" t="str">
            <v>DE0005773303</v>
          </cell>
          <cell r="B78" t="e">
            <v>#VALUE!</v>
          </cell>
          <cell r="C78" t="str">
            <v>Fraport AG Frankfurt Airport Services Worldwide</v>
          </cell>
          <cell r="D78">
            <v>80.400000000000006</v>
          </cell>
        </row>
        <row r="79">
          <cell r="A79" t="str">
            <v>SE0014855292</v>
          </cell>
          <cell r="B79" t="e">
            <v>#VALUE!</v>
          </cell>
          <cell r="C79" t="str">
            <v>Readly International AB (publ)</v>
          </cell>
          <cell r="D79">
            <v>26.5</v>
          </cell>
        </row>
        <row r="80">
          <cell r="A80" t="str">
            <v>DE0008404005</v>
          </cell>
          <cell r="B80" t="e">
            <v>#VALUE!</v>
          </cell>
          <cell r="C80" t="str">
            <v>Allianz SE</v>
          </cell>
          <cell r="D80">
            <v>372.7</v>
          </cell>
        </row>
        <row r="81">
          <cell r="A81" t="str">
            <v>DE000HLAG475</v>
          </cell>
          <cell r="B81" t="e">
            <v>#VALUE!</v>
          </cell>
          <cell r="C81" t="str">
            <v>Hapag-Lloyd Aktiengesellschaft</v>
          </cell>
          <cell r="D81">
            <v>120.6</v>
          </cell>
        </row>
        <row r="82">
          <cell r="A82" t="str">
            <v>US20717M1036</v>
          </cell>
          <cell r="B82" t="e">
            <v>#VALUE!</v>
          </cell>
          <cell r="C82" t="str">
            <v>CONFLUENT, INC.</v>
          </cell>
          <cell r="D82">
            <v>30.6</v>
          </cell>
        </row>
        <row r="83">
          <cell r="A83" t="str">
            <v>US69608A1088</v>
          </cell>
          <cell r="B83" t="e">
            <v>#VALUE!</v>
          </cell>
          <cell r="C83" t="str">
            <v>PALANTIR TECHNOLOGIES INC.</v>
          </cell>
          <cell r="D83">
            <v>137.44999999999999</v>
          </cell>
        </row>
        <row r="84">
          <cell r="A84" t="str">
            <v>US40434L1052</v>
          </cell>
          <cell r="B84" t="e">
            <v>#VALUE!</v>
          </cell>
          <cell r="C84" t="str">
            <v>HP INC.</v>
          </cell>
          <cell r="D84">
            <v>19.524999999999999</v>
          </cell>
        </row>
        <row r="85">
          <cell r="A85" t="str">
            <v>CA11284V1058</v>
          </cell>
          <cell r="B85" t="e">
            <v>#VALUE!</v>
          </cell>
          <cell r="C85" t="str">
            <v>BROOKFIELD RENEWABLE CORPORATION</v>
          </cell>
          <cell r="D85">
            <v>58.18</v>
          </cell>
        </row>
        <row r="86">
          <cell r="A86" t="str">
            <v>US36266G1076</v>
          </cell>
          <cell r="B86" t="e">
            <v>#VALUE!</v>
          </cell>
          <cell r="C86" t="str">
            <v>GE HealthCare Technologies Inc.</v>
          </cell>
          <cell r="D86">
            <v>78.48</v>
          </cell>
        </row>
        <row r="87">
          <cell r="A87" t="str">
            <v>DE0005659700</v>
          </cell>
          <cell r="B87" t="e">
            <v>#VALUE!</v>
          </cell>
          <cell r="C87" t="str">
            <v>Eckert &amp; Ziegler SE</v>
          </cell>
          <cell r="D87">
            <v>15.13</v>
          </cell>
        </row>
        <row r="88">
          <cell r="A88" t="str">
            <v>US6541101050</v>
          </cell>
          <cell r="B88" t="e">
            <v>#VALUE!</v>
          </cell>
          <cell r="C88" t="str">
            <v>NIKOLA CORPORATION</v>
          </cell>
          <cell r="D88">
            <v>1.7500000000000002E-2</v>
          </cell>
        </row>
        <row r="89">
          <cell r="A89" t="str">
            <v>US9182041080</v>
          </cell>
          <cell r="B89" t="e">
            <v>#VALUE!</v>
          </cell>
          <cell r="C89" t="str">
            <v>V.F. CORPORATION</v>
          </cell>
          <cell r="D89">
            <v>20.99</v>
          </cell>
        </row>
        <row r="90">
          <cell r="A90" t="str">
            <v>NL0013056914</v>
          </cell>
          <cell r="B90" t="e">
            <v>#VALUE!</v>
          </cell>
          <cell r="C90" t="str">
            <v>Elastic NV</v>
          </cell>
          <cell r="D90">
            <v>62.094999999999999</v>
          </cell>
        </row>
        <row r="91">
          <cell r="A91" t="str">
            <v>DE000A168205</v>
          </cell>
          <cell r="B91" t="e">
            <v>#VALUE!</v>
          </cell>
          <cell r="C91" t="str">
            <v>Shareholder Value Beteiligungen AG</v>
          </cell>
          <cell r="D91">
            <v>82</v>
          </cell>
        </row>
        <row r="92">
          <cell r="A92" t="str">
            <v>US36828A1016</v>
          </cell>
          <cell r="B92" t="e">
            <v>#VALUE!</v>
          </cell>
          <cell r="C92" t="str">
            <v>GE VERNOVA INC.</v>
          </cell>
          <cell r="D92">
            <v>831</v>
          </cell>
        </row>
        <row r="93">
          <cell r="A93" t="str">
            <v>US83444M1018</v>
          </cell>
          <cell r="B93" t="e">
            <v>#VALUE!</v>
          </cell>
          <cell r="C93" t="str">
            <v>SOLVENTUM CORPORATION</v>
          </cell>
          <cell r="D93">
            <v>79.625</v>
          </cell>
        </row>
        <row r="94">
          <cell r="A94" t="str">
            <v>US1667641005</v>
          </cell>
          <cell r="B94" t="e">
            <v>#VALUE!</v>
          </cell>
          <cell r="C94" t="str">
            <v>CHEVRON CORPORATION</v>
          </cell>
          <cell r="D94">
            <v>184.785</v>
          </cell>
        </row>
        <row r="95">
          <cell r="A95" t="str">
            <v>JP3633400001</v>
          </cell>
          <cell r="B95" t="e">
            <v>#VALUE!</v>
          </cell>
          <cell r="C95" t="str">
            <v>TOYOTA MOTOR CORPORATION</v>
          </cell>
          <cell r="D95">
            <v>241.55</v>
          </cell>
        </row>
        <row r="96">
          <cell r="A96" t="str">
            <v>DE0005190003</v>
          </cell>
          <cell r="B96" t="e">
            <v>#VALUE!</v>
          </cell>
          <cell r="C96" t="str">
            <v>Bayerische Motoren Werke Aktiengesellschaft</v>
          </cell>
          <cell r="D96">
            <v>89.08</v>
          </cell>
        </row>
        <row r="97">
          <cell r="A97" t="str">
            <v>DE0007100000</v>
          </cell>
          <cell r="B97" t="e">
            <v>#VALUE!</v>
          </cell>
          <cell r="C97" t="str">
            <v>Mercedes-Benz Group AG</v>
          </cell>
          <cell r="D97">
            <v>58.01</v>
          </cell>
        </row>
        <row r="98">
          <cell r="A98" t="str">
            <v>US6541061031</v>
          </cell>
          <cell r="B98" t="e">
            <v>#VALUE!</v>
          </cell>
          <cell r="C98" t="str">
            <v>NIKE, INC.</v>
          </cell>
          <cell r="D98">
            <v>62.854999999999997</v>
          </cell>
        </row>
        <row r="99">
          <cell r="A99" t="str">
            <v>CA49448Q1090</v>
          </cell>
          <cell r="B99" t="e">
            <v>#VALUE!</v>
          </cell>
          <cell r="C99" t="str">
            <v>KINAXIS INC.</v>
          </cell>
          <cell r="D99">
            <v>94.300022092937624</v>
          </cell>
        </row>
        <row r="100">
          <cell r="A100" t="str">
            <v>DE000BAY0017</v>
          </cell>
          <cell r="B100" t="e">
            <v>#VALUE!</v>
          </cell>
          <cell r="C100" t="str">
            <v>Bayer Aktiengesellschaft</v>
          </cell>
          <cell r="D100">
            <v>45.89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965B-7BE1-D245-86DE-AB0A9BD3BACB}">
  <dimension ref="A1:U35"/>
  <sheetViews>
    <sheetView tabSelected="1" zoomScaleNormal="100" zoomScalePageLayoutView="85" workbookViewId="0">
      <selection activeCell="A6" sqref="A6"/>
    </sheetView>
  </sheetViews>
  <sheetFormatPr baseColWidth="10" defaultColWidth="10.83203125" defaultRowHeight="16" x14ac:dyDescent="0.2"/>
  <cols>
    <col min="1" max="1" width="16" bestFit="1" customWidth="1"/>
    <col min="2" max="2" width="13.33203125" bestFit="1" customWidth="1"/>
    <col min="3" max="3" width="11.6640625" bestFit="1" customWidth="1"/>
    <col min="4" max="4" width="15.1640625" bestFit="1" customWidth="1"/>
    <col min="5" max="5" width="11.6640625" bestFit="1" customWidth="1"/>
    <col min="6" max="6" width="16.1640625" bestFit="1" customWidth="1"/>
    <col min="7" max="7" width="11.6640625" bestFit="1" customWidth="1"/>
    <col min="8" max="8" width="11.6640625" customWidth="1"/>
    <col min="9" max="9" width="9.33203125" bestFit="1" customWidth="1"/>
    <col min="10" max="10" width="9.83203125" bestFit="1" customWidth="1"/>
    <col min="11" max="11" width="15.5" bestFit="1" customWidth="1"/>
    <col min="12" max="12" width="12.33203125" bestFit="1" customWidth="1"/>
    <col min="13" max="13" width="24.6640625" customWidth="1"/>
    <col min="14" max="14" width="53.1640625" bestFit="1" customWidth="1"/>
    <col min="15" max="15" width="8.6640625" customWidth="1"/>
    <col min="16" max="16" width="8.1640625" bestFit="1" customWidth="1"/>
    <col min="17" max="17" width="14.1640625" bestFit="1" customWidth="1"/>
    <col min="18" max="18" width="7.1640625" bestFit="1" customWidth="1"/>
    <col min="19" max="19" width="15.6640625" bestFit="1" customWidth="1"/>
    <col min="20" max="20" width="20.6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s="1"/>
      <c r="L1" t="s">
        <v>4</v>
      </c>
      <c r="M1" t="s">
        <v>5</v>
      </c>
      <c r="N1" t="s">
        <v>6</v>
      </c>
    </row>
    <row r="2" spans="1:21" x14ac:dyDescent="0.2">
      <c r="A2" t="s">
        <v>26</v>
      </c>
      <c r="B2" t="s">
        <v>27</v>
      </c>
      <c r="C2" t="s">
        <v>28</v>
      </c>
      <c r="D2" t="s">
        <v>29</v>
      </c>
      <c r="E2" s="1"/>
      <c r="F2" s="2"/>
      <c r="G2" s="2"/>
      <c r="H2" s="2"/>
      <c r="I2" s="2"/>
      <c r="J2" s="2"/>
      <c r="K2" s="3"/>
      <c r="L2" s="4"/>
      <c r="O2" s="4"/>
      <c r="Q2" s="5"/>
      <c r="R2" s="6"/>
      <c r="S2" s="6"/>
      <c r="T2" s="6"/>
    </row>
    <row r="3" spans="1:21" x14ac:dyDescent="0.2">
      <c r="A3" s="7" t="s">
        <v>7</v>
      </c>
      <c r="F3" s="8"/>
    </row>
    <row r="5" spans="1:21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s="9" t="s">
        <v>18</v>
      </c>
      <c r="L5" s="9"/>
    </row>
    <row r="6" spans="1:21" x14ac:dyDescent="0.2">
      <c r="A6" s="10"/>
      <c r="B6" s="11"/>
      <c r="C6" s="11"/>
      <c r="D6" s="12"/>
      <c r="E6" s="12"/>
      <c r="F6" s="11"/>
      <c r="G6" s="11"/>
      <c r="H6" s="11"/>
      <c r="I6" s="11"/>
      <c r="J6" s="11"/>
      <c r="K6" s="13" t="e">
        <f t="shared" ref="K6:K12" si="0">E6*F6/D6</f>
        <v>#DIV/0!</v>
      </c>
      <c r="L6" s="8"/>
    </row>
    <row r="7" spans="1:21" x14ac:dyDescent="0.2">
      <c r="A7" s="10"/>
      <c r="B7" s="11"/>
      <c r="C7" s="11"/>
      <c r="D7" s="12"/>
      <c r="E7" s="12"/>
      <c r="F7" s="11"/>
      <c r="G7" s="11"/>
      <c r="H7" s="11"/>
      <c r="I7" s="11"/>
      <c r="J7" s="11"/>
      <c r="K7" s="13" t="e">
        <f t="shared" si="0"/>
        <v>#DIV/0!</v>
      </c>
      <c r="L7" s="8"/>
    </row>
    <row r="8" spans="1:21" x14ac:dyDescent="0.2">
      <c r="A8" s="10"/>
      <c r="B8" s="11"/>
      <c r="C8" s="11"/>
      <c r="D8" s="12"/>
      <c r="E8" s="12"/>
      <c r="F8" s="11"/>
      <c r="G8" s="11"/>
      <c r="H8" s="11"/>
      <c r="I8" s="11"/>
      <c r="J8" s="11"/>
      <c r="K8" s="13" t="e">
        <f t="shared" si="0"/>
        <v>#DIV/0!</v>
      </c>
      <c r="L8" s="8"/>
    </row>
    <row r="9" spans="1:21" x14ac:dyDescent="0.2">
      <c r="A9" s="10"/>
      <c r="B9" s="11"/>
      <c r="C9" s="11"/>
      <c r="D9" s="11"/>
      <c r="E9" s="12"/>
      <c r="F9" s="11"/>
      <c r="G9" s="11"/>
      <c r="H9" s="11"/>
      <c r="I9" s="11"/>
      <c r="J9" s="11"/>
      <c r="K9" s="13" t="e">
        <f t="shared" si="0"/>
        <v>#DIV/0!</v>
      </c>
      <c r="L9" s="8"/>
    </row>
    <row r="10" spans="1:21" x14ac:dyDescent="0.2">
      <c r="A10" s="10"/>
      <c r="B10" s="11"/>
      <c r="C10" s="11"/>
      <c r="D10" s="11"/>
      <c r="E10" s="12"/>
      <c r="F10" s="11"/>
      <c r="G10" s="11"/>
      <c r="H10" s="11"/>
      <c r="I10" s="11"/>
      <c r="J10" s="11"/>
      <c r="K10" s="13" t="e">
        <f t="shared" si="0"/>
        <v>#DIV/0!</v>
      </c>
    </row>
    <row r="11" spans="1:21" x14ac:dyDescent="0.2">
      <c r="A11" s="10"/>
      <c r="B11" s="11"/>
      <c r="C11" s="11"/>
      <c r="D11" s="11"/>
      <c r="E11" s="12"/>
      <c r="F11" s="11"/>
      <c r="G11" s="11"/>
      <c r="H11" s="11"/>
      <c r="I11" s="11"/>
      <c r="J11" s="11"/>
      <c r="K11" s="13" t="e">
        <f t="shared" si="0"/>
        <v>#DIV/0!</v>
      </c>
    </row>
    <row r="12" spans="1:21" x14ac:dyDescent="0.2">
      <c r="A12" s="10"/>
      <c r="B12" s="11"/>
      <c r="C12" s="11"/>
      <c r="D12" s="11"/>
      <c r="E12" s="12"/>
      <c r="F12" s="11"/>
      <c r="G12" s="11"/>
      <c r="H12" s="11"/>
      <c r="I12" s="11"/>
      <c r="J12" s="11"/>
      <c r="K12" s="13" t="e">
        <f t="shared" si="0"/>
        <v>#DIV/0!</v>
      </c>
    </row>
    <row r="13" spans="1:21" x14ac:dyDescent="0.2">
      <c r="A13" s="10"/>
      <c r="B13" s="11"/>
      <c r="C13" s="11"/>
      <c r="D13" s="11"/>
      <c r="E13" s="12"/>
      <c r="F13" s="11"/>
      <c r="G13" s="11"/>
      <c r="H13" s="11"/>
      <c r="I13" s="11"/>
      <c r="J13" s="11"/>
      <c r="K13" s="13"/>
    </row>
    <row r="14" spans="1:21" x14ac:dyDescent="0.2">
      <c r="A14" s="10"/>
      <c r="B14" s="11"/>
      <c r="C14" s="11"/>
      <c r="D14" s="11"/>
      <c r="E14" s="12"/>
      <c r="F14" s="11"/>
      <c r="G14" s="11"/>
      <c r="H14" s="11"/>
      <c r="I14" s="11"/>
      <c r="J14" s="11"/>
      <c r="K14" s="13"/>
      <c r="R14" s="14"/>
      <c r="S14" s="14"/>
    </row>
    <row r="15" spans="1:21" x14ac:dyDescent="0.2">
      <c r="A15" s="10"/>
      <c r="B15" s="11"/>
      <c r="C15" s="11"/>
      <c r="D15" s="11"/>
      <c r="E15" s="12"/>
      <c r="F15" s="11"/>
      <c r="G15" s="11"/>
      <c r="H15" s="11"/>
      <c r="I15" s="11"/>
      <c r="J15" s="11"/>
      <c r="K15" s="13"/>
    </row>
    <row r="16" spans="1:21" x14ac:dyDescent="0.2">
      <c r="A16" s="10"/>
      <c r="B16" s="11"/>
      <c r="C16" s="11"/>
      <c r="D16" s="11"/>
      <c r="E16" s="12"/>
      <c r="F16" s="11"/>
      <c r="G16" s="11"/>
      <c r="H16" s="11"/>
      <c r="I16" s="11"/>
      <c r="J16" s="11"/>
      <c r="K16" s="13"/>
      <c r="O16" s="14"/>
      <c r="P16" s="14"/>
      <c r="Q16" s="14"/>
      <c r="T16" s="14"/>
      <c r="U16" s="14"/>
    </row>
    <row r="17" spans="1:15" x14ac:dyDescent="0.2">
      <c r="A17" s="10"/>
      <c r="B17" s="11"/>
      <c r="C17" s="11"/>
      <c r="D17" s="11"/>
      <c r="E17" s="12"/>
      <c r="F17" s="11"/>
      <c r="G17" s="11"/>
      <c r="H17" s="11"/>
      <c r="I17" s="11"/>
      <c r="J17" s="11"/>
      <c r="K17" s="13"/>
      <c r="L17" s="14"/>
      <c r="N17" s="14"/>
    </row>
    <row r="18" spans="1:15" x14ac:dyDescent="0.2">
      <c r="A18" s="10"/>
      <c r="B18" s="11"/>
      <c r="C18" s="11"/>
      <c r="D18" s="11"/>
      <c r="E18" s="12"/>
      <c r="F18" s="11"/>
      <c r="G18" s="15"/>
      <c r="H18" s="15"/>
      <c r="I18" s="15"/>
      <c r="J18" s="15"/>
      <c r="K18" s="13"/>
      <c r="L18" s="16"/>
      <c r="N18" s="17"/>
    </row>
    <row r="19" spans="1:15" x14ac:dyDescent="0.2">
      <c r="D19" s="18"/>
      <c r="E19" s="19"/>
      <c r="F19" s="20"/>
      <c r="G19" s="21"/>
      <c r="H19" s="21"/>
      <c r="I19" s="21"/>
      <c r="J19" s="21"/>
      <c r="K19" s="22"/>
      <c r="L19" s="22"/>
      <c r="M19" s="23"/>
      <c r="N19" s="24"/>
      <c r="O19" s="25"/>
    </row>
    <row r="20" spans="1:15" x14ac:dyDescent="0.2">
      <c r="C20" s="26"/>
      <c r="D20" s="18"/>
      <c r="E20" s="19"/>
      <c r="F20" s="20"/>
      <c r="G20" s="27"/>
      <c r="H20" s="27"/>
      <c r="I20" s="27"/>
      <c r="J20" s="27"/>
      <c r="K20" s="24"/>
    </row>
    <row r="21" spans="1:15" x14ac:dyDescent="0.2">
      <c r="C21" s="26"/>
      <c r="D21" s="18"/>
      <c r="E21" s="19"/>
      <c r="F21" s="20"/>
      <c r="G21" s="27"/>
      <c r="H21" s="27"/>
      <c r="I21" s="27"/>
      <c r="J21" s="27"/>
      <c r="K21" s="24"/>
    </row>
    <row r="22" spans="1:15" x14ac:dyDescent="0.2">
      <c r="B22" t="s">
        <v>19</v>
      </c>
      <c r="C22" s="28">
        <v>0.2</v>
      </c>
      <c r="D22" s="20" t="s">
        <v>20</v>
      </c>
      <c r="E22" s="29">
        <v>0.2</v>
      </c>
      <c r="F22" s="30" t="e">
        <f>VLOOKUP(B2,[1]KURSE!A$2:D$100,4,FALSE)*F6</f>
        <v>#N/A</v>
      </c>
      <c r="G22" s="27"/>
      <c r="H22" s="27"/>
      <c r="I22" s="22"/>
      <c r="J22" s="23"/>
      <c r="K22" s="24"/>
      <c r="L22" t="s">
        <v>21</v>
      </c>
      <c r="M22" s="26"/>
    </row>
    <row r="23" spans="1:15" x14ac:dyDescent="0.2">
      <c r="A23" t="s">
        <v>22</v>
      </c>
      <c r="B23" t="s">
        <v>23</v>
      </c>
      <c r="C23" t="s">
        <v>24</v>
      </c>
      <c r="D23" t="s">
        <v>25</v>
      </c>
      <c r="F23" s="20"/>
      <c r="G23" s="27"/>
      <c r="H23" s="27"/>
      <c r="I23" s="22"/>
      <c r="J23" s="23"/>
      <c r="K23" s="24"/>
      <c r="L23" s="8">
        <f t="shared" ref="L23:L35" si="1">A6</f>
        <v>0</v>
      </c>
      <c r="M23" s="6" t="e">
        <f t="shared" ref="M23:M35" si="2">(F7-F6)/F7</f>
        <v>#DIV/0!</v>
      </c>
    </row>
    <row r="24" spans="1:15" x14ac:dyDescent="0.2">
      <c r="A24">
        <v>1</v>
      </c>
      <c r="B24" s="31">
        <f>B6*(1+$C$22)</f>
        <v>0</v>
      </c>
      <c r="C24" s="26">
        <f>B24*$E$22</f>
        <v>0</v>
      </c>
      <c r="D24" s="32" t="e">
        <f>$F$22/C24</f>
        <v>#N/A</v>
      </c>
      <c r="F24" s="20"/>
      <c r="G24" s="27"/>
      <c r="H24" s="27" t="s">
        <v>20</v>
      </c>
      <c r="I24" s="22" t="s">
        <v>19</v>
      </c>
      <c r="J24" s="23"/>
      <c r="K24" s="23"/>
      <c r="L24" s="8">
        <f t="shared" si="1"/>
        <v>0</v>
      </c>
      <c r="M24" s="6" t="e">
        <f t="shared" si="2"/>
        <v>#DIV/0!</v>
      </c>
    </row>
    <row r="25" spans="1:15" x14ac:dyDescent="0.2">
      <c r="A25">
        <v>2</v>
      </c>
      <c r="B25" s="31">
        <f>B24*(1+$C$22)</f>
        <v>0</v>
      </c>
      <c r="C25" s="26">
        <f t="shared" ref="C25:C33" si="3">B25*$E$22</f>
        <v>0</v>
      </c>
      <c r="D25" s="32" t="e">
        <f t="shared" ref="D25:D33" si="4">$F$22/C25</f>
        <v>#N/A</v>
      </c>
      <c r="F25" s="26"/>
      <c r="G25" s="27"/>
      <c r="H25" s="33" t="e">
        <f>C6/B6</f>
        <v>#DIV/0!</v>
      </c>
      <c r="I25" s="33" t="e">
        <f>B6/B7-1</f>
        <v>#DIV/0!</v>
      </c>
      <c r="L25" s="8">
        <f t="shared" si="1"/>
        <v>0</v>
      </c>
      <c r="M25" s="6" t="e">
        <f t="shared" si="2"/>
        <v>#DIV/0!</v>
      </c>
    </row>
    <row r="26" spans="1:15" x14ac:dyDescent="0.2">
      <c r="A26">
        <v>3</v>
      </c>
      <c r="B26" s="31">
        <f t="shared" ref="B26:B33" si="5">B25*(1+$C$22)</f>
        <v>0</v>
      </c>
      <c r="C26" s="26">
        <f t="shared" si="3"/>
        <v>0</v>
      </c>
      <c r="D26" s="32" t="e">
        <f t="shared" si="4"/>
        <v>#N/A</v>
      </c>
      <c r="H26" s="33" t="e">
        <f t="shared" ref="H26:H34" si="6">C7/B7</f>
        <v>#DIV/0!</v>
      </c>
      <c r="I26" s="33" t="e">
        <f t="shared" ref="I26:I34" si="7">B7/B8-1</f>
        <v>#DIV/0!</v>
      </c>
      <c r="L26" s="8">
        <f t="shared" si="1"/>
        <v>0</v>
      </c>
      <c r="M26" s="6" t="e">
        <f t="shared" si="2"/>
        <v>#DIV/0!</v>
      </c>
    </row>
    <row r="27" spans="1:15" x14ac:dyDescent="0.2">
      <c r="A27">
        <v>4</v>
      </c>
      <c r="B27" s="31">
        <f t="shared" si="5"/>
        <v>0</v>
      </c>
      <c r="C27" s="26">
        <f t="shared" si="3"/>
        <v>0</v>
      </c>
      <c r="D27" s="32" t="e">
        <f t="shared" si="4"/>
        <v>#N/A</v>
      </c>
      <c r="H27" s="33" t="e">
        <f t="shared" si="6"/>
        <v>#DIV/0!</v>
      </c>
      <c r="I27" s="33" t="e">
        <f t="shared" si="7"/>
        <v>#DIV/0!</v>
      </c>
      <c r="L27" s="8">
        <f t="shared" si="1"/>
        <v>0</v>
      </c>
      <c r="M27" s="6" t="e">
        <f t="shared" si="2"/>
        <v>#DIV/0!</v>
      </c>
    </row>
    <row r="28" spans="1:15" x14ac:dyDescent="0.2">
      <c r="A28">
        <v>5</v>
      </c>
      <c r="B28" s="31">
        <f t="shared" si="5"/>
        <v>0</v>
      </c>
      <c r="C28" s="26">
        <f t="shared" si="3"/>
        <v>0</v>
      </c>
      <c r="D28" s="32" t="e">
        <f t="shared" si="4"/>
        <v>#N/A</v>
      </c>
      <c r="H28" s="33" t="e">
        <f t="shared" si="6"/>
        <v>#DIV/0!</v>
      </c>
      <c r="I28" s="33" t="e">
        <f t="shared" si="7"/>
        <v>#DIV/0!</v>
      </c>
      <c r="L28" s="8">
        <f t="shared" si="1"/>
        <v>0</v>
      </c>
      <c r="M28" s="6" t="e">
        <f t="shared" si="2"/>
        <v>#DIV/0!</v>
      </c>
    </row>
    <row r="29" spans="1:15" x14ac:dyDescent="0.2">
      <c r="A29">
        <v>6</v>
      </c>
      <c r="B29" s="31">
        <f t="shared" si="5"/>
        <v>0</v>
      </c>
      <c r="C29" s="26">
        <f t="shared" si="3"/>
        <v>0</v>
      </c>
      <c r="D29" s="32" t="e">
        <f t="shared" si="4"/>
        <v>#N/A</v>
      </c>
      <c r="H29" s="33" t="e">
        <f t="shared" si="6"/>
        <v>#DIV/0!</v>
      </c>
      <c r="I29" s="33" t="e">
        <f t="shared" si="7"/>
        <v>#DIV/0!</v>
      </c>
      <c r="L29" s="8">
        <f t="shared" si="1"/>
        <v>0</v>
      </c>
      <c r="M29" s="6" t="e">
        <f t="shared" si="2"/>
        <v>#DIV/0!</v>
      </c>
    </row>
    <row r="30" spans="1:15" x14ac:dyDescent="0.2">
      <c r="A30">
        <v>7</v>
      </c>
      <c r="B30" s="31">
        <f t="shared" si="5"/>
        <v>0</v>
      </c>
      <c r="C30" s="26">
        <f t="shared" si="3"/>
        <v>0</v>
      </c>
      <c r="D30" s="32" t="e">
        <f t="shared" si="4"/>
        <v>#N/A</v>
      </c>
      <c r="H30" s="33" t="e">
        <f t="shared" si="6"/>
        <v>#DIV/0!</v>
      </c>
      <c r="I30" s="33" t="e">
        <f t="shared" si="7"/>
        <v>#DIV/0!</v>
      </c>
      <c r="L30" s="8">
        <f t="shared" si="1"/>
        <v>0</v>
      </c>
      <c r="M30" s="6" t="e">
        <f t="shared" si="2"/>
        <v>#DIV/0!</v>
      </c>
    </row>
    <row r="31" spans="1:15" x14ac:dyDescent="0.2">
      <c r="A31">
        <v>8</v>
      </c>
      <c r="B31" s="31">
        <f t="shared" si="5"/>
        <v>0</v>
      </c>
      <c r="C31" s="26">
        <f t="shared" si="3"/>
        <v>0</v>
      </c>
      <c r="D31" s="32" t="e">
        <f t="shared" si="4"/>
        <v>#N/A</v>
      </c>
      <c r="H31" s="33" t="e">
        <f t="shared" si="6"/>
        <v>#DIV/0!</v>
      </c>
      <c r="I31" s="33" t="e">
        <f t="shared" si="7"/>
        <v>#DIV/0!</v>
      </c>
      <c r="L31" s="8">
        <f t="shared" si="1"/>
        <v>0</v>
      </c>
      <c r="M31" s="6" t="e">
        <f t="shared" si="2"/>
        <v>#DIV/0!</v>
      </c>
    </row>
    <row r="32" spans="1:15" x14ac:dyDescent="0.2">
      <c r="A32">
        <v>9</v>
      </c>
      <c r="B32" s="31">
        <f t="shared" si="5"/>
        <v>0</v>
      </c>
      <c r="C32" s="26">
        <f t="shared" si="3"/>
        <v>0</v>
      </c>
      <c r="D32" s="32" t="e">
        <f t="shared" si="4"/>
        <v>#N/A</v>
      </c>
      <c r="H32" s="33" t="e">
        <f t="shared" si="6"/>
        <v>#DIV/0!</v>
      </c>
      <c r="I32" s="33" t="e">
        <f t="shared" si="7"/>
        <v>#DIV/0!</v>
      </c>
      <c r="L32" s="8">
        <f t="shared" si="1"/>
        <v>0</v>
      </c>
      <c r="M32" s="6" t="e">
        <f t="shared" si="2"/>
        <v>#DIV/0!</v>
      </c>
    </row>
    <row r="33" spans="1:13" x14ac:dyDescent="0.2">
      <c r="A33">
        <v>10</v>
      </c>
      <c r="B33" s="31">
        <f t="shared" si="5"/>
        <v>0</v>
      </c>
      <c r="C33" s="26">
        <f t="shared" si="3"/>
        <v>0</v>
      </c>
      <c r="D33" s="32" t="e">
        <f t="shared" si="4"/>
        <v>#N/A</v>
      </c>
      <c r="H33" s="33" t="e">
        <f t="shared" si="6"/>
        <v>#DIV/0!</v>
      </c>
      <c r="I33" s="33" t="e">
        <f t="shared" si="7"/>
        <v>#DIV/0!</v>
      </c>
      <c r="L33" s="8">
        <f t="shared" si="1"/>
        <v>0</v>
      </c>
      <c r="M33" s="6" t="e">
        <f t="shared" si="2"/>
        <v>#DIV/0!</v>
      </c>
    </row>
    <row r="34" spans="1:13" x14ac:dyDescent="0.2">
      <c r="H34" s="33" t="e">
        <f t="shared" si="6"/>
        <v>#DIV/0!</v>
      </c>
      <c r="I34" s="33" t="e">
        <f t="shared" si="7"/>
        <v>#DIV/0!</v>
      </c>
      <c r="L34" s="8">
        <f t="shared" si="1"/>
        <v>0</v>
      </c>
      <c r="M34" s="6" t="e">
        <f t="shared" si="2"/>
        <v>#DIV/0!</v>
      </c>
    </row>
    <row r="35" spans="1:13" x14ac:dyDescent="0.2">
      <c r="L35" s="8">
        <f t="shared" si="1"/>
        <v>0</v>
      </c>
      <c r="M35" s="6" t="e">
        <f t="shared" si="2"/>
        <v>#DIV/0!</v>
      </c>
    </row>
  </sheetData>
  <hyperlinks>
    <hyperlink ref="A3" location="Dashboard!A1" display="Dashboard!A1" xr:uid="{9BEC18E8-12FB-0143-8836-BB27458D2FD5}"/>
  </hyperlink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TICKER_SYMBOL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Bolz, Thomas (Cognizant)</dc:creator>
  <cp:lastModifiedBy>Bolz, Thomas (Cognizant)</cp:lastModifiedBy>
  <dcterms:created xsi:type="dcterms:W3CDTF">2026-02-11T14:38:09Z</dcterms:created>
  <dcterms:modified xsi:type="dcterms:W3CDTF">2026-02-11T14:45:23Z</dcterms:modified>
</cp:coreProperties>
</file>